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Dashboard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9"/>
          </rPr>
          <t xml:space="preserve">Data Type: </t>
        </r>
        <r>
          <rPr>
            <sz val="9"/>
          </rPr>
          <t>Numeric ID</t>
        </r>
      </text>
    </comment>
    <comment ref="B1" authorId="0">
      <text>
        <r>
          <rPr>
            <b/>
            <sz val="9"/>
          </rPr>
          <t xml:space="preserve">Data Type: </t>
        </r>
        <r>
          <rPr>
            <sz val="9"/>
          </rPr>
          <t>Numeric ID</t>
        </r>
      </text>
    </comment>
    <comment ref="C1" authorId="0">
      <text>
        <r>
          <rPr>
            <b/>
            <sz val="9"/>
          </rPr>
          <t xml:space="preserve">Data Type: </t>
        </r>
        <r>
          <rPr>
            <sz val="9"/>
          </rPr>
          <t>Text</t>
        </r>
      </text>
    </comment>
    <comment ref="D1" authorId="0">
      <text>
        <r>
          <rPr>
            <b/>
            <sz val="9"/>
          </rPr>
          <t xml:space="preserve">Data Type: </t>
        </r>
        <r>
          <rPr>
            <sz val="9"/>
          </rPr>
          <t>Text</t>
        </r>
      </text>
    </comment>
    <comment ref="E1" authorId="0">
      <text>
        <r>
          <rPr>
            <b/>
            <sz val="9"/>
          </rPr>
          <t xml:space="preserve">Data Type: </t>
        </r>
        <r>
          <rPr>
            <sz val="9"/>
          </rPr>
          <t>Email</t>
        </r>
      </text>
    </comment>
    <comment ref="F1" authorId="0">
      <text>
        <r>
          <rPr>
            <b/>
            <sz val="9"/>
          </rPr>
          <t xml:space="preserve">Data Type: </t>
        </r>
        <r>
          <rPr>
            <sz val="9"/>
          </rPr>
          <t>Yes / No</t>
        </r>
      </text>
    </comment>
    <comment ref="G1" authorId="0">
      <text>
        <r>
          <rPr>
            <b/>
            <sz val="9"/>
          </rPr>
          <t xml:space="preserve">Data Type: </t>
        </r>
        <r>
          <rPr>
            <sz val="9"/>
          </rPr>
          <t>Yes / No</t>
        </r>
      </text>
    </comment>
    <comment ref="H1" authorId="0">
      <text>
        <r>
          <rPr>
            <b/>
            <sz val="9"/>
          </rPr>
          <t xml:space="preserve">Data Type: </t>
        </r>
        <r>
          <rPr>
            <sz val="9"/>
          </rPr>
          <t>Predefined List</t>
        </r>
      </text>
    </comment>
    <comment ref="I1" authorId="0">
      <text>
        <r>
          <rPr>
            <b/>
            <sz val="9"/>
          </rPr>
          <t xml:space="preserve">Data Type: </t>
        </r>
        <r>
          <rPr>
            <sz val="9"/>
          </rPr>
          <t>Free Text (most blank)</t>
        </r>
      </text>
    </comment>
    <comment ref="J1" authorId="0">
      <text>
        <r>
          <rPr>
            <b/>
            <sz val="9"/>
          </rPr>
          <t xml:space="preserve">Data Type: </t>
        </r>
        <r>
          <rPr>
            <sz val="9"/>
          </rPr>
          <t>Free Text (most blank)</t>
        </r>
      </text>
    </comment>
    <comment ref="K1" authorId="0">
      <text>
        <r>
          <rPr>
            <b/>
            <sz val="9"/>
          </rPr>
          <t xml:space="preserve">Data Type: </t>
        </r>
        <r>
          <rPr>
            <sz val="9"/>
          </rPr>
          <t>Free Text (most blank)</t>
        </r>
      </text>
    </comment>
    <comment ref="L1" authorId="0">
      <text>
        <r>
          <rPr>
            <b/>
            <sz val="9"/>
          </rPr>
          <t xml:space="preserve">Data Type: </t>
        </r>
        <r>
          <rPr>
            <sz val="9"/>
          </rPr>
          <t>Yes / No</t>
        </r>
      </text>
    </comment>
    <comment ref="M1" authorId="0">
      <text>
        <r>
          <rPr>
            <b/>
            <sz val="9"/>
          </rPr>
          <t xml:space="preserve">Data Type: </t>
        </r>
        <r>
          <rPr>
            <sz val="9"/>
          </rPr>
          <t>Free Text (most blank)</t>
        </r>
      </text>
    </comment>
    <comment ref="N1" authorId="0">
      <text>
        <r>
          <rPr>
            <b/>
            <sz val="9"/>
          </rPr>
          <t xml:space="preserve">Data Type: </t>
        </r>
        <r>
          <rPr>
            <sz val="9"/>
          </rPr>
          <t>Yes / No</t>
        </r>
      </text>
    </comment>
    <comment ref="O1" authorId="0">
      <text>
        <r>
          <rPr>
            <b/>
            <sz val="9"/>
          </rPr>
          <t xml:space="preserve">Data Type: </t>
        </r>
        <r>
          <rPr>
            <sz val="9"/>
          </rPr>
          <t>Free Text (most blank)</t>
        </r>
      </text>
    </comment>
    <comment ref="P1" authorId="0">
      <text>
        <r>
          <rPr>
            <b/>
            <sz val="9"/>
          </rPr>
          <t xml:space="preserve">Data Type: </t>
        </r>
        <r>
          <rPr>
            <sz val="9"/>
          </rPr>
          <t>Date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7" authorId="0">
      <text>
        <r>
          <rPr>
            <b/>
            <sz val="9"/>
          </rPr>
          <t xml:space="preserve">ENTER MANUALLY
</t>
        </r>
        <r>
          <rPr>
            <sz val="9"/>
          </rPr>
          <t>Type the total number of officers in the pool. Records on Data sheet = submitted only.</t>
        </r>
      </text>
    </comment>
  </commentList>
</comments>
</file>

<file path=xl/sharedStrings.xml><?xml version="1.0" encoding="utf-8"?>
<sst xmlns="http://schemas.openxmlformats.org/spreadsheetml/2006/main" count="103" uniqueCount="81">
  <si>
    <t>FormID</t>
  </si>
  <si>
    <t>PTBID</t>
  </si>
  <si>
    <t>First</t>
  </si>
  <si>
    <t>Last</t>
  </si>
  <si>
    <t>Email</t>
  </si>
  <si>
    <t>Active</t>
  </si>
  <si>
    <t>Leave</t>
  </si>
  <si>
    <t>Status</t>
  </si>
  <si>
    <t>Explanation</t>
  </si>
  <si>
    <t>Mandate Reason</t>
  </si>
  <si>
    <t>Employment Explanation</t>
  </si>
  <si>
    <t>OtherLE</t>
  </si>
  <si>
    <t>Misconduct</t>
  </si>
  <si>
    <t>Misconduct Explanation</t>
  </si>
  <si>
    <t>Date</t>
  </si>
  <si>
    <t>Numeric ID</t>
  </si>
  <si>
    <t>Text</t>
  </si>
  <si>
    <t>Yes / No</t>
  </si>
  <si>
    <t>Predefined List</t>
  </si>
  <si>
    <t>Free Text (most blank)</t>
  </si>
  <si>
    <t>Officer Verification Dashboard</t>
  </si>
  <si>
    <t>All metrics auto-update when data is pasted into the Data sheet (starting row 3).</t>
  </si>
  <si>
    <t xml:space="preserve">  Population &amp; Submission Summary</t>
  </si>
  <si>
    <t>Total Officer Population</t>
  </si>
  <si>
    <t>Records in Data (Submitted)</t>
  </si>
  <si>
    <t>Not Yet Submitted</t>
  </si>
  <si>
    <t>Submission Rate (of population)</t>
  </si>
  <si>
    <t xml:space="preserve">  Officer Status Counts</t>
  </si>
  <si>
    <t xml:space="preserve">  Compliance &amp; Attention Flags</t>
  </si>
  <si>
    <t>Active = Yes</t>
  </si>
  <si>
    <t>Misconduct = Yes</t>
  </si>
  <si>
    <t>Active = No</t>
  </si>
  <si>
    <t>Misconduct = Yes AND has Date</t>
  </si>
  <si>
    <t>Leave = Yes</t>
  </si>
  <si>
    <t>Active = Yes AND Misconduct = Yes</t>
  </si>
  <si>
    <t>Leave = No</t>
  </si>
  <si>
    <t>OtherLE = Yes</t>
  </si>
  <si>
    <t xml:space="preserve">  Explanation Fields Populated</t>
  </si>
  <si>
    <t>OtherLE = No</t>
  </si>
  <si>
    <t>Explanation [col I] (non-blank)</t>
  </si>
  <si>
    <t>Mandate Reason (non-blank)</t>
  </si>
  <si>
    <t>Misconduct = No</t>
  </si>
  <si>
    <t>Employment Explanation (non-blank)</t>
  </si>
  <si>
    <t>OtherLE Explanation [col M] (non-blank)</t>
  </si>
  <si>
    <t xml:space="preserve">  Status Breakdown</t>
  </si>
  <si>
    <t>Misconduct Explanation (non-blank)</t>
  </si>
  <si>
    <t>Compliant</t>
  </si>
  <si>
    <t>Non-Compliant</t>
  </si>
  <si>
    <t xml:space="preserve">  Quick Cross-Tabs</t>
  </si>
  <si>
    <t>In Progress</t>
  </si>
  <si>
    <t>Active = Yes AND Leave = Yes</t>
  </si>
  <si>
    <t>Expired</t>
  </si>
  <si>
    <t>Active = Yes AND OtherLE = Yes</t>
  </si>
  <si>
    <t>Exempt</t>
  </si>
  <si>
    <t>Leave = Yes AND Misconduct = Yes</t>
  </si>
  <si>
    <t>Pending</t>
  </si>
  <si>
    <t>Not Started</t>
  </si>
  <si>
    <t xml:space="preserve">  Column Reference</t>
  </si>
  <si>
    <t>(Other / unlisted values)</t>
  </si>
  <si>
    <t>A: FormID</t>
  </si>
  <si>
    <t>B: PTBID</t>
  </si>
  <si>
    <t>C–D: First / Last</t>
  </si>
  <si>
    <t>E: Email</t>
  </si>
  <si>
    <t>Email address</t>
  </si>
  <si>
    <t>F: Active</t>
  </si>
  <si>
    <t>G: Leave</t>
  </si>
  <si>
    <t>H: Status</t>
  </si>
  <si>
    <t>Predefined list</t>
  </si>
  <si>
    <t>I: Explanation</t>
  </si>
  <si>
    <t>Free text (compliance)</t>
  </si>
  <si>
    <t>J: Mandate Reason</t>
  </si>
  <si>
    <t>Free text</t>
  </si>
  <si>
    <t>K: Employment Explanation</t>
  </si>
  <si>
    <t>L: OtherLE</t>
  </si>
  <si>
    <t>M: Explanation</t>
  </si>
  <si>
    <t>Free text (OtherLE)</t>
  </si>
  <si>
    <t>N: Misconduct</t>
  </si>
  <si>
    <t>O: Misconduct Explanation</t>
  </si>
  <si>
    <t>P: Date</t>
  </si>
  <si>
    <t>Date submitted</t>
  </si>
  <si>
    <t>Notes: Row 2 on the Data sheet describes each column's data type. Paste officer records starting at row 3. Status breakdown uses common values — check "Other / unlisted" row if your labels differ. Enter Total Officer Population manually in the blue box above (C7).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</si>
</sst>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7" x14ac:knownFonts="1">
    <font>
      <color theme="1"/>
      <family val="2"/>
      <scheme val="minor"/>
      <sz val="11"/>
      <name val="Calibri"/>
    </font>
    <font>
      <b/>
      <color rgb="FFFFFF"/>
      <sz val="11"/>
    </font>
    <font>
      <i/>
      <color rgb="666666"/>
      <sz val="9"/>
    </font>
    <font>
      <b/>
      <color rgb="1F4E79"/>
      <sz val="16"/>
    </font>
    <font>
      <i/>
      <color rgb="808080"/>
      <sz val="10"/>
    </font>
    <font>
      <b/>
      <color rgb="FFFFFF"/>
      <sz val="13"/>
    </font>
    <font>
      <b/>
      <color rgb="1F4E79"/>
      <sz val="12"/>
    </font>
    <font>
      <b/>
      <color rgb="1F4E79"/>
      <sz val="14"/>
    </font>
    <font>
      <b/>
      <color rgb="1F4E79"/>
      <sz val="18"/>
    </font>
    <font>
      <b/>
      <sz val="11"/>
    </font>
    <font>
      <b/>
      <color rgb="C00000"/>
      <sz val="14"/>
    </font>
    <font>
      <sz val="11"/>
    </font>
    <font>
      <b/>
      <sz val="12"/>
    </font>
    <font>
      <b/>
      <color rgb="C00000"/>
      <sz val="12"/>
    </font>
    <font>
      <b/>
      <sz val="9"/>
    </font>
    <font>
      <color rgb="666666"/>
      <sz val="9"/>
    </font>
    <font>
      <i/>
      <color rgb="808080"/>
      <sz val="9"/>
    </font>
  </fonts>
  <fills count="6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  <fill>
      <patternFill patternType="solid">
        <fgColor rgb="DAEEF3"/>
      </patternFill>
    </fill>
    <fill>
      <patternFill patternType="solid">
        <fgColor rgb="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D9D9D9"/>
      </bottom>
      <diagonal/>
    </border>
    <border>
      <left style="medium">
        <color rgb="4472C4"/>
      </left>
      <right style="medium">
        <color rgb="4472C4"/>
      </right>
      <top style="medium">
        <color rgb="4472C4"/>
      </top>
      <bottom style="medium">
        <color rgb="4472C4"/>
      </bottom>
      <diagonal/>
    </border>
    <border>
      <left/>
      <right/>
      <top/>
      <bottom style="thin">
        <color rgb="D9E2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right" vertical="center" indent="1"/>
    </xf>
    <xf numFmtId="0" fontId="7" fillId="4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 indent="1"/>
    </xf>
    <xf numFmtId="0" fontId="10" fillId="0" borderId="4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2" fillId="0" borderId="4" xfId="0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left" inden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P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4" width="14" customWidth="1"/>
    <col min="5" max="5" width="28" customWidth="1"/>
    <col min="6" max="7" width="10" customWidth="1"/>
    <col min="8" max="8" width="18" customWidth="1"/>
    <col min="9" max="11" width="28" customWidth="1"/>
    <col min="12" max="12" width="10" customWidth="1"/>
    <col min="13" max="13" width="28" customWidth="1"/>
    <col min="14" max="14" width="12" customWidth="1"/>
    <col min="15" max="15" width="28" customWidth="1"/>
    <col min="16" max="16" width="14" customWidth="1"/>
  </cols>
  <sheetData>
    <row r="1" ht="30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</v>
      </c>
      <c r="N1" s="1" t="s">
        <v>12</v>
      </c>
      <c r="O1" s="1" t="s">
        <v>13</v>
      </c>
      <c r="P1" s="1" t="s">
        <v>14</v>
      </c>
    </row>
    <row r="2" ht="20" customHeight="1" spans="1:16" x14ac:dyDescent="0.25">
      <c r="A2" s="2" t="s">
        <v>15</v>
      </c>
      <c r="B2" s="2" t="s">
        <v>15</v>
      </c>
      <c r="C2" s="2" t="s">
        <v>16</v>
      </c>
      <c r="D2" s="2" t="s">
        <v>16</v>
      </c>
      <c r="E2" s="2" t="s">
        <v>4</v>
      </c>
      <c r="F2" s="2" t="s">
        <v>17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19</v>
      </c>
      <c r="L2" s="2" t="s">
        <v>17</v>
      </c>
      <c r="M2" s="2" t="s">
        <v>19</v>
      </c>
      <c r="N2" s="2" t="s">
        <v>17</v>
      </c>
      <c r="O2" s="2" t="s">
        <v>19</v>
      </c>
      <c r="P2" s="2" t="s">
        <v>14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AD47"/>
  </sheetPr>
  <dimension ref="B2:F45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40" customWidth="1"/>
    <col min="3" max="3" width="16" customWidth="1"/>
    <col min="4" max="4" width="4" customWidth="1"/>
    <col min="5" max="5" width="40" customWidth="1"/>
    <col min="6" max="6" width="16" customWidth="1"/>
    <col min="7" max="7" width="2" customWidth="1"/>
  </cols>
  <sheetData>
    <row r="2" ht="32" customHeight="1" spans="2:6" x14ac:dyDescent="0.25">
      <c r="B2" s="3" t="s">
        <v>20</v>
      </c>
      <c r="C2" s="3"/>
      <c r="D2" s="3"/>
      <c r="E2" s="3"/>
      <c r="F2" s="3"/>
    </row>
    <row r="3" spans="2:6" x14ac:dyDescent="0.25">
      <c r="B3" s="4" t="s">
        <v>21</v>
      </c>
      <c r="C3" s="4"/>
      <c r="D3" s="4"/>
      <c r="E3" s="4"/>
      <c r="F3" s="4"/>
    </row>
    <row r="5" ht="28" customHeight="1" spans="2:6" x14ac:dyDescent="0.25">
      <c r="B5" s="5" t="s">
        <v>22</v>
      </c>
      <c r="C5" s="5"/>
      <c r="D5" s="5"/>
      <c r="E5" s="5"/>
      <c r="F5" s="5"/>
    </row>
    <row r="6" ht="8" customHeight="1" x14ac:dyDescent="0.25"/>
    <row r="7" ht="36" customHeight="1" spans="2:6" x14ac:dyDescent="0.25">
      <c r="B7" s="6" t="s">
        <v>23</v>
      </c>
      <c r="C7" s="7"/>
      <c r="E7" s="6" t="s">
        <v>24</v>
      </c>
      <c r="F7" s="8">
        <f>COUNTA(Data!A:A)-2</f>
      </c>
    </row>
    <row r="8" ht="28" customHeight="1" spans="2:6" x14ac:dyDescent="0.25">
      <c r="B8" s="9" t="s">
        <v>25</v>
      </c>
      <c r="C8" s="10">
        <f>IF(C7="","—",C7-(COUNTA(Data!A:A)-2))</f>
      </c>
      <c r="E8" s="9" t="s">
        <v>26</v>
      </c>
      <c r="F8" s="11">
        <f>IF(OR(C7="",C7=0),0,(COUNTA(Data!A:A)-2)/C7)</f>
      </c>
    </row>
    <row r="10" ht="28" customHeight="1" spans="2:6" x14ac:dyDescent="0.25">
      <c r="B10" s="5" t="s">
        <v>27</v>
      </c>
      <c r="C10" s="5"/>
      <c r="E10" s="5" t="s">
        <v>28</v>
      </c>
      <c r="F10" s="5"/>
    </row>
    <row r="11" ht="22" customHeight="1" spans="2:6" x14ac:dyDescent="0.25">
      <c r="B11" s="12" t="s">
        <v>29</v>
      </c>
      <c r="C11" s="13">
        <f>COUNTIF(Data!F:F,"Yes")</f>
      </c>
      <c r="E11" s="12" t="s">
        <v>30</v>
      </c>
      <c r="F11" s="14">
        <f>COUNTIF(Data!N:N,"Yes")</f>
      </c>
    </row>
    <row r="12" ht="22" customHeight="1" spans="2:6" x14ac:dyDescent="0.25">
      <c r="B12" s="12" t="s">
        <v>31</v>
      </c>
      <c r="C12" s="13">
        <f>COUNTIF(Data!F:F,"No")</f>
      </c>
      <c r="E12" s="12" t="s">
        <v>32</v>
      </c>
      <c r="F12" s="14">
        <f>COUNTIFS(Data!N:N,"Yes",Data!P:P,"&lt;&gt;")</f>
      </c>
    </row>
    <row r="13" ht="22" customHeight="1" spans="2:6" x14ac:dyDescent="0.25">
      <c r="B13" s="12" t="s">
        <v>33</v>
      </c>
      <c r="C13" s="13">
        <f>COUNTIF(Data!G:G,"Yes")</f>
      </c>
      <c r="E13" s="12" t="s">
        <v>34</v>
      </c>
      <c r="F13" s="14">
        <f>COUNTIFS(Data!F:F,"Yes",Data!N:N,"Yes")</f>
      </c>
    </row>
    <row r="14" ht="22" customHeight="1" spans="2:3" x14ac:dyDescent="0.25">
      <c r="B14" s="12" t="s">
        <v>35</v>
      </c>
      <c r="C14" s="13">
        <f>COUNTIF(Data!G:G,"No")</f>
      </c>
    </row>
    <row r="15" ht="28" customHeight="1" spans="2:6" x14ac:dyDescent="0.25">
      <c r="B15" s="12" t="s">
        <v>36</v>
      </c>
      <c r="C15" s="13">
        <f>COUNTIF(Data!L:L,"Yes")</f>
      </c>
      <c r="E15" s="5" t="s">
        <v>37</v>
      </c>
      <c r="F15" s="5"/>
    </row>
    <row r="16" ht="22" customHeight="1" spans="2:6" x14ac:dyDescent="0.25">
      <c r="B16" s="12" t="s">
        <v>38</v>
      </c>
      <c r="C16" s="13">
        <f>COUNTIF(Data!L:L,"No")</f>
      </c>
      <c r="E16" s="12" t="s">
        <v>39</v>
      </c>
      <c r="F16" s="13">
        <f>COUNTA(Data!I3:I1048576)</f>
      </c>
    </row>
    <row r="17" ht="22" customHeight="1" spans="2:6" x14ac:dyDescent="0.25">
      <c r="B17" s="12" t="s">
        <v>30</v>
      </c>
      <c r="C17" s="14">
        <f>COUNTIF(Data!N:N,"Yes")</f>
      </c>
      <c r="E17" s="12" t="s">
        <v>40</v>
      </c>
      <c r="F17" s="13">
        <f>COUNTA(Data!J3:J1048576)</f>
      </c>
    </row>
    <row r="18" ht="22" customHeight="1" spans="2:6" x14ac:dyDescent="0.25">
      <c r="B18" s="12" t="s">
        <v>41</v>
      </c>
      <c r="C18" s="13">
        <f>COUNTIF(Data!N:N,"No")</f>
      </c>
      <c r="E18" s="12" t="s">
        <v>42</v>
      </c>
      <c r="F18" s="13">
        <f>COUNTA(Data!K3:K1048576)</f>
      </c>
    </row>
    <row r="19" ht="22" customHeight="1" spans="5:6" x14ac:dyDescent="0.25">
      <c r="E19" s="12" t="s">
        <v>43</v>
      </c>
      <c r="F19" s="13">
        <f>COUNTA(Data!M3:M1048576)</f>
      </c>
    </row>
    <row r="20" ht="22" customHeight="1" spans="2:6" x14ac:dyDescent="0.25">
      <c r="B20" s="5" t="s">
        <v>44</v>
      </c>
      <c r="C20" s="5"/>
      <c r="E20" s="12" t="s">
        <v>45</v>
      </c>
      <c r="F20" s="13">
        <f>COUNTA(Data!O3:O1048576)</f>
      </c>
    </row>
    <row r="21" ht="22" customHeight="1" spans="2:3" x14ac:dyDescent="0.25">
      <c r="B21" s="12" t="s">
        <v>46</v>
      </c>
      <c r="C21" s="13">
        <f>COUNTIF(Data!H:H,"Compliant")</f>
      </c>
    </row>
    <row r="22" ht="28" customHeight="1" spans="2:6" x14ac:dyDescent="0.25">
      <c r="B22" s="12" t="s">
        <v>47</v>
      </c>
      <c r="C22" s="13">
        <f>COUNTIF(Data!H:H,"Non-Compliant")</f>
      </c>
      <c r="E22" s="5" t="s">
        <v>48</v>
      </c>
      <c r="F22" s="5"/>
    </row>
    <row r="23" ht="22" customHeight="1" spans="2:6" x14ac:dyDescent="0.25">
      <c r="B23" s="12" t="s">
        <v>49</v>
      </c>
      <c r="C23" s="13">
        <f>COUNTIF(Data!H:H,"In Progress")</f>
      </c>
      <c r="E23" s="12" t="s">
        <v>50</v>
      </c>
      <c r="F23" s="13">
        <f>COUNTIFS(Data!F:F,"Yes",Data!G:G,"Yes")</f>
      </c>
    </row>
    <row r="24" ht="22" customHeight="1" spans="2:6" x14ac:dyDescent="0.25">
      <c r="B24" s="12" t="s">
        <v>51</v>
      </c>
      <c r="C24" s="13">
        <f>COUNTIF(Data!H:H,"Expired")</f>
      </c>
      <c r="E24" s="12" t="s">
        <v>52</v>
      </c>
      <c r="F24" s="13">
        <f>COUNTIFS(Data!F:F,"Yes",Data!L:L,"Yes")</f>
      </c>
    </row>
    <row r="25" ht="22" customHeight="1" spans="2:6" x14ac:dyDescent="0.25">
      <c r="B25" s="12" t="s">
        <v>53</v>
      </c>
      <c r="C25" s="13">
        <f>COUNTIF(Data!H:H,"Exempt")</f>
      </c>
      <c r="E25" s="12" t="s">
        <v>54</v>
      </c>
      <c r="F25" s="13">
        <f>COUNTIFS(Data!G:G,"Yes",Data!N:N,"Yes")</f>
      </c>
    </row>
    <row r="26" ht="22" customHeight="1" spans="2:3" x14ac:dyDescent="0.25">
      <c r="B26" s="12" t="s">
        <v>55</v>
      </c>
      <c r="C26" s="13">
        <f>COUNTIF(Data!H:H,"Pending")</f>
      </c>
    </row>
    <row r="27" ht="28" customHeight="1" spans="2:6" x14ac:dyDescent="0.25">
      <c r="B27" s="12" t="s">
        <v>56</v>
      </c>
      <c r="C27" s="13">
        <f>COUNTIF(Data!H:H,"Not Started")</f>
      </c>
      <c r="E27" s="5" t="s">
        <v>57</v>
      </c>
      <c r="F27" s="5"/>
    </row>
    <row r="28" ht="16" customHeight="1" spans="2:6" x14ac:dyDescent="0.25">
      <c r="B28" s="12" t="s">
        <v>58</v>
      </c>
      <c r="C28" s="13">
        <f>MAX(0, COUNTA(Data!H3:H1048576) - (COUNTIF(Data!H:H,"Compliant")+COUNTIF(Data!H:H,"Non-Compliant")+COUNTIF(Data!H:H,"In Progress")+COUNTIF(Data!H:H,"Expired")+COUNTIF(Data!H:H,"Exempt")+COUNTIF(Data!H:H,"Pending")+COUNTIF(Data!H:H,"Not Started")))</f>
      </c>
      <c r="E28" s="15" t="s">
        <v>59</v>
      </c>
      <c r="F28" s="16" t="s">
        <v>15</v>
      </c>
    </row>
    <row r="29" ht="16" customHeight="1" spans="5:6" x14ac:dyDescent="0.25">
      <c r="E29" s="15" t="s">
        <v>60</v>
      </c>
      <c r="F29" s="16" t="s">
        <v>15</v>
      </c>
    </row>
    <row r="30" ht="16" customHeight="1" spans="5:6" x14ac:dyDescent="0.25">
      <c r="E30" s="15" t="s">
        <v>61</v>
      </c>
      <c r="F30" s="16" t="s">
        <v>16</v>
      </c>
    </row>
    <row r="31" ht="16" customHeight="1" spans="5:6" x14ac:dyDescent="0.25">
      <c r="E31" s="15" t="s">
        <v>62</v>
      </c>
      <c r="F31" s="16" t="s">
        <v>63</v>
      </c>
    </row>
    <row r="32" ht="16" customHeight="1" spans="5:6" x14ac:dyDescent="0.25">
      <c r="E32" s="15" t="s">
        <v>64</v>
      </c>
      <c r="F32" s="16" t="s">
        <v>17</v>
      </c>
    </row>
    <row r="33" ht="16" customHeight="1" spans="5:6" x14ac:dyDescent="0.25">
      <c r="E33" s="15" t="s">
        <v>65</v>
      </c>
      <c r="F33" s="16" t="s">
        <v>17</v>
      </c>
    </row>
    <row r="34" ht="16" customHeight="1" spans="5:6" x14ac:dyDescent="0.25">
      <c r="E34" s="15" t="s">
        <v>66</v>
      </c>
      <c r="F34" s="16" t="s">
        <v>67</v>
      </c>
    </row>
    <row r="35" ht="16" customHeight="1" spans="5:6" x14ac:dyDescent="0.25">
      <c r="E35" s="15" t="s">
        <v>68</v>
      </c>
      <c r="F35" s="16" t="s">
        <v>69</v>
      </c>
    </row>
    <row r="36" ht="16" customHeight="1" spans="5:6" x14ac:dyDescent="0.25">
      <c r="E36" s="15" t="s">
        <v>70</v>
      </c>
      <c r="F36" s="16" t="s">
        <v>71</v>
      </c>
    </row>
    <row r="37" ht="16" customHeight="1" spans="5:6" x14ac:dyDescent="0.25">
      <c r="E37" s="15" t="s">
        <v>72</v>
      </c>
      <c r="F37" s="16" t="s">
        <v>71</v>
      </c>
    </row>
    <row r="38" ht="16" customHeight="1" spans="5:6" x14ac:dyDescent="0.25">
      <c r="E38" s="15" t="s">
        <v>73</v>
      </c>
      <c r="F38" s="16" t="s">
        <v>17</v>
      </c>
    </row>
    <row r="39" ht="16" customHeight="1" spans="5:6" x14ac:dyDescent="0.25">
      <c r="E39" s="15" t="s">
        <v>74</v>
      </c>
      <c r="F39" s="16" t="s">
        <v>75</v>
      </c>
    </row>
    <row r="40" ht="16" customHeight="1" spans="5:6" x14ac:dyDescent="0.25">
      <c r="E40" s="15" t="s">
        <v>76</v>
      </c>
      <c r="F40" s="16" t="s">
        <v>17</v>
      </c>
    </row>
    <row r="41" ht="16" customHeight="1" spans="5:6" x14ac:dyDescent="0.25">
      <c r="E41" s="15" t="s">
        <v>77</v>
      </c>
      <c r="F41" s="16" t="s">
        <v>71</v>
      </c>
    </row>
    <row r="42" ht="16" customHeight="1" spans="5:6" x14ac:dyDescent="0.25">
      <c r="E42" s="15" t="s">
        <v>78</v>
      </c>
      <c r="F42" s="16" t="s">
        <v>79</v>
      </c>
    </row>
    <row r="44" spans="2:6" x14ac:dyDescent="0.25">
      <c r="B44" s="17" t="s">
        <v>80</v>
      </c>
      <c r="C44" s="17"/>
      <c r="D44" s="17"/>
      <c r="E44" s="17"/>
      <c r="F44" s="17"/>
    </row>
    <row r="45" spans="2:6" x14ac:dyDescent="0.25">
      <c r="B45" s="17"/>
      <c r="C45" s="17"/>
      <c r="D45" s="17"/>
      <c r="E45" s="17"/>
      <c r="F45" s="17"/>
    </row>
  </sheetData>
  <mergeCells count="10">
    <mergeCell ref="B2:F2"/>
    <mergeCell ref="B3:F3"/>
    <mergeCell ref="B5:F5"/>
    <mergeCell ref="B10:C10"/>
    <mergeCell ref="E10:F10"/>
    <mergeCell ref="E15:F15"/>
    <mergeCell ref="B20:C20"/>
    <mergeCell ref="E22:F22"/>
    <mergeCell ref="E27:F27"/>
    <mergeCell ref="B44:F45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2026-02-18T15:53:33Z</dcterms:created>
  <dcterms:modified xsi:type="dcterms:W3CDTF">2026-02-18T15:53:33Z</dcterms:modified>
</cp:coreProperties>
</file>