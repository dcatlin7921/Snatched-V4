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Dashboard" state="visible" r:id="rId5"/>
  </sheets>
  <calcPr calcId="171027"/>
</workbook>
</file>

<file path=xl/sharedStrings.xml><?xml version="1.0" encoding="utf-8"?>
<sst xmlns="http://schemas.openxmlformats.org/spreadsheetml/2006/main" count="58" uniqueCount="58">
  <si>
    <t>VerificationFormId</t>
  </si>
  <si>
    <t>PtbId</t>
  </si>
  <si>
    <t>FirstName</t>
  </si>
  <si>
    <t>LastName</t>
  </si>
  <si>
    <t>Email</t>
  </si>
  <si>
    <t>ActiveLe</t>
  </si>
  <si>
    <t>OnLeave</t>
  </si>
  <si>
    <t>TrainingStatus</t>
  </si>
  <si>
    <t>OutOfComplianceExplanation</t>
  </si>
  <si>
    <t>ReasonMandatesNotCompleted</t>
  </si>
  <si>
    <t>EmploymentHistoryExplanation</t>
  </si>
  <si>
    <t>OtherLE</t>
  </si>
  <si>
    <t>OtherLEExplanation</t>
  </si>
  <si>
    <t>Misconduct</t>
  </si>
  <si>
    <t>MisconductExplanation</t>
  </si>
  <si>
    <t>Submitted</t>
  </si>
  <si>
    <t>Officer Verification Dashboard</t>
  </si>
  <si>
    <t>Auto-updates when new data is pasted into the Data sheet</t>
  </si>
  <si>
    <t xml:space="preserve">  Overview</t>
  </si>
  <si>
    <t xml:space="preserve">  Compliance &amp; Attention Flags</t>
  </si>
  <si>
    <t>Total Officer Records</t>
  </si>
  <si>
    <t>Misconduct = Yes</t>
  </si>
  <si>
    <t>Total Submitted</t>
  </si>
  <si>
    <t>Misconduct = Yes AND Submitted = Yes</t>
  </si>
  <si>
    <t>Total Not Submitted</t>
  </si>
  <si>
    <t>Misconduct = No</t>
  </si>
  <si>
    <t>Submission Rate</t>
  </si>
  <si>
    <t xml:space="preserve">  Explanation Fields Populated</t>
  </si>
  <si>
    <t xml:space="preserve">  Officer Status Counts</t>
  </si>
  <si>
    <t>OutOfComplianceExplanation (non-blank)</t>
  </si>
  <si>
    <t>ActiveLe = Yes</t>
  </si>
  <si>
    <t>ReasonMandatesNotCompleted (non-blank)</t>
  </si>
  <si>
    <t>ActiveLe = No</t>
  </si>
  <si>
    <t>EmploymentHistoryExplanation (non-blank)</t>
  </si>
  <si>
    <t>OnLeave = Yes</t>
  </si>
  <si>
    <t>OtherLEExplanation (non-blank)</t>
  </si>
  <si>
    <t>OnLeave = No</t>
  </si>
  <si>
    <t>MisconductExplanation (non-blank)</t>
  </si>
  <si>
    <t>OtherLE = Yes</t>
  </si>
  <si>
    <t>OtherLE = No</t>
  </si>
  <si>
    <t xml:space="preserve">  Quick Cross-Tabs</t>
  </si>
  <si>
    <t>ActiveLe=Yes AND Submitted=Yes</t>
  </si>
  <si>
    <t xml:space="preserve">  Training Status Breakdown</t>
  </si>
  <si>
    <t>ActiveLe=Yes AND Submitted=No</t>
  </si>
  <si>
    <t>Training: Compliant</t>
  </si>
  <si>
    <t>OnLeave=Yes AND Submitted=Yes</t>
  </si>
  <si>
    <t>Training: Non-Compliant</t>
  </si>
  <si>
    <t>OnLeave=Yes AND Submitted=No</t>
  </si>
  <si>
    <t>Training: In Progress</t>
  </si>
  <si>
    <t>OtherLE=Yes AND Submitted=Yes</t>
  </si>
  <si>
    <t>Training: Expired</t>
  </si>
  <si>
    <t>OtherLE=Yes AND Submitted=No</t>
  </si>
  <si>
    <t>Training: Exempt</t>
  </si>
  <si>
    <t>Training: Pending</t>
  </si>
  <si>
    <t xml:space="preserve">  Notes</t>
  </si>
  <si>
    <t>Training: Not Started</t>
  </si>
  <si>
    <t>Training Status breakdown uses common values. If your data uses different labels, the "Other values" row will catch them — check the Data sheet for actual values and adjust as needed.</t>
  </si>
  <si>
    <t>Training: (Other values)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</si>
</sst>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color theme="1"/>
      <family val="2"/>
      <scheme val="minor"/>
      <sz val="11"/>
      <name val="Calibri"/>
    </font>
    <font>
      <b/>
      <color rgb="FFFFFF"/>
      <sz val="11"/>
    </font>
    <font>
      <b/>
      <color rgb="1F4E79"/>
      <sz val="16"/>
    </font>
    <font>
      <i/>
      <color rgb="808080"/>
      <sz val="10"/>
    </font>
    <font>
      <b/>
      <color rgb="FFFFFF"/>
      <sz val="13"/>
    </font>
    <font>
      <sz val="11"/>
    </font>
    <font>
      <b/>
      <sz val="12"/>
    </font>
    <font>
      <b/>
      <color rgb="C00000"/>
      <sz val="12"/>
    </font>
    <font>
      <i/>
      <color rgb="808080"/>
      <sz val="9"/>
    </font>
  </fonts>
  <fills count="4">
    <fill>
      <patternFill patternType="none"/>
    </fill>
    <fill>
      <patternFill patternType="gray125"/>
    </fill>
    <fill>
      <patternFill patternType="solid">
        <fgColor rgb="4472C4"/>
      </patternFill>
    </fill>
    <fill>
      <patternFill patternType="solid">
        <fgColor rgb="FFF2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medium">
        <color rgb="4472C4"/>
      </bottom>
      <diagonal/>
    </border>
    <border>
      <left/>
      <right/>
      <top/>
      <bottom style="thin">
        <color rgb="D9E2F3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2" borderId="2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 indent="1"/>
    </xf>
    <xf numFmtId="0" fontId="6" fillId="0" borderId="3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472C4"/>
  </sheetPr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0" customWidth="1"/>
    <col min="3" max="4" width="14" customWidth="1"/>
    <col min="5" max="5" width="28" customWidth="1"/>
    <col min="6" max="7" width="10" customWidth="1"/>
    <col min="8" max="8" width="18" customWidth="1"/>
    <col min="9" max="11" width="30" customWidth="1"/>
    <col min="12" max="12" width="10" customWidth="1"/>
    <col min="13" max="13" width="30" customWidth="1"/>
    <col min="14" max="14" width="12" customWidth="1"/>
    <col min="15" max="15" width="30" customWidth="1"/>
    <col min="16" max="16" width="12" customWidth="1"/>
  </cols>
  <sheetData>
    <row r="1" ht="30" customHeight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</sheetData>
  <autoFilter ref="A1:P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0AD47"/>
  </sheetPr>
  <dimension ref="B2:F28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38" customWidth="1"/>
    <col min="3" max="3" width="16" customWidth="1"/>
    <col min="4" max="4" width="4" customWidth="1"/>
    <col min="5" max="5" width="38" customWidth="1"/>
    <col min="6" max="6" width="16" customWidth="1"/>
    <col min="7" max="7" width="2" customWidth="1"/>
  </cols>
  <sheetData>
    <row r="2" ht="32" customHeight="1" spans="2:6" x14ac:dyDescent="0.25">
      <c r="B2" s="2" t="s">
        <v>16</v>
      </c>
      <c r="C2" s="2"/>
      <c r="D2" s="2"/>
      <c r="E2" s="2"/>
      <c r="F2" s="2"/>
    </row>
    <row r="3" spans="2:6" x14ac:dyDescent="0.25">
      <c r="B3" s="3" t="s">
        <v>17</v>
      </c>
      <c r="C3" s="3"/>
      <c r="D3" s="3"/>
      <c r="E3" s="3"/>
      <c r="F3" s="3"/>
    </row>
    <row r="5" ht="28" customHeight="1" spans="2:6" x14ac:dyDescent="0.25">
      <c r="B5" s="4" t="s">
        <v>18</v>
      </c>
      <c r="C5" s="4"/>
      <c r="E5" s="4" t="s">
        <v>19</v>
      </c>
      <c r="F5" s="4"/>
    </row>
    <row r="6" ht="22" customHeight="1" spans="2:6" x14ac:dyDescent="0.25">
      <c r="B6" s="5" t="s">
        <v>20</v>
      </c>
      <c r="C6" s="6">
        <f>COUNTA(Data!A:A)-1</f>
      </c>
      <c r="E6" s="5" t="s">
        <v>21</v>
      </c>
      <c r="F6" s="7">
        <f>COUNTIF(Data!N:N,"Yes")</f>
      </c>
    </row>
    <row r="7" ht="22" customHeight="1" spans="2:6" x14ac:dyDescent="0.25">
      <c r="B7" s="5" t="s">
        <v>22</v>
      </c>
      <c r="C7" s="6">
        <f>COUNTIF(Data!P:P,"Yes")</f>
      </c>
      <c r="E7" s="5" t="s">
        <v>23</v>
      </c>
      <c r="F7" s="7">
        <f>COUNTIFS(Data!N:N,"Yes",Data!P:P,"Yes")</f>
      </c>
    </row>
    <row r="8" ht="22" customHeight="1" spans="2:6" x14ac:dyDescent="0.25">
      <c r="B8" s="5" t="s">
        <v>24</v>
      </c>
      <c r="C8" s="6">
        <f>COUNTIF(Data!P:P,"No")</f>
      </c>
      <c r="E8" s="5" t="s">
        <v>25</v>
      </c>
      <c r="F8" s="6">
        <f>COUNTIF(Data!N:N,"No")</f>
      </c>
    </row>
    <row r="9" ht="22" customHeight="1" spans="2:3" x14ac:dyDescent="0.25">
      <c r="B9" s="5" t="s">
        <v>26</v>
      </c>
      <c r="C9" s="8">
        <f>IF(COUNTA(Data!A:A)-1=0,0,COUNTIF(Data!P:P,"Yes")/(COUNTA(Data!A:A)-1))</f>
      </c>
    </row>
    <row r="10" ht="28" customHeight="1" spans="2:6" x14ac:dyDescent="0.25">
      <c r="E10" s="4" t="s">
        <v>27</v>
      </c>
      <c r="F10" s="4"/>
    </row>
    <row r="11" ht="22" customHeight="1" spans="2:6" x14ac:dyDescent="0.25">
      <c r="B11" s="4" t="s">
        <v>28</v>
      </c>
      <c r="C11" s="4"/>
      <c r="E11" s="5" t="s">
        <v>29</v>
      </c>
      <c r="F11" s="6">
        <f>COUNTA(Data!I2:I1048576)</f>
      </c>
    </row>
    <row r="12" ht="22" customHeight="1" spans="2:6" x14ac:dyDescent="0.25">
      <c r="B12" s="5" t="s">
        <v>30</v>
      </c>
      <c r="C12" s="6">
        <f>COUNTIF(Data!F:F,"Yes")</f>
      </c>
      <c r="E12" s="5" t="s">
        <v>31</v>
      </c>
      <c r="F12" s="6">
        <f>COUNTA(Data!J2:J1048576)</f>
      </c>
    </row>
    <row r="13" ht="22" customHeight="1" spans="2:6" x14ac:dyDescent="0.25">
      <c r="B13" s="5" t="s">
        <v>32</v>
      </c>
      <c r="C13" s="6">
        <f>COUNTIF(Data!F:F,"No")</f>
      </c>
      <c r="E13" s="5" t="s">
        <v>33</v>
      </c>
      <c r="F13" s="6">
        <f>COUNTA(Data!K2:K1048576)</f>
      </c>
    </row>
    <row r="14" ht="22" customHeight="1" spans="2:6" x14ac:dyDescent="0.25">
      <c r="B14" s="5" t="s">
        <v>34</v>
      </c>
      <c r="C14" s="6">
        <f>COUNTIF(Data!G:G,"Yes")</f>
      </c>
      <c r="E14" s="5" t="s">
        <v>35</v>
      </c>
      <c r="F14" s="6">
        <f>COUNTA(Data!M2:M1048576)</f>
      </c>
    </row>
    <row r="15" ht="22" customHeight="1" spans="2:6" x14ac:dyDescent="0.25">
      <c r="B15" s="5" t="s">
        <v>36</v>
      </c>
      <c r="C15" s="6">
        <f>COUNTIF(Data!G:G,"No")</f>
      </c>
      <c r="E15" s="5" t="s">
        <v>37</v>
      </c>
      <c r="F15" s="6">
        <f>COUNTA(Data!O2:O1048576)</f>
      </c>
    </row>
    <row r="16" ht="22" customHeight="1" spans="2:6" x14ac:dyDescent="0.25">
      <c r="B16" s="5" t="s">
        <v>38</v>
      </c>
      <c r="C16" s="6">
        <f>COUNTIF(Data!L:L,"Yes")</f>
      </c>
    </row>
    <row r="17" ht="28" customHeight="1" spans="2:6" x14ac:dyDescent="0.25">
      <c r="B17" s="5" t="s">
        <v>39</v>
      </c>
      <c r="C17" s="6">
        <f>COUNTIF(Data!L:L,"No")</f>
      </c>
      <c r="E17" s="4" t="s">
        <v>40</v>
      </c>
      <c r="F17" s="4"/>
    </row>
    <row r="18" ht="22" customHeight="1" spans="2:6" x14ac:dyDescent="0.25">
      <c r="E18" s="5" t="s">
        <v>41</v>
      </c>
      <c r="F18" s="6">
        <f>COUNTIFS(Data!F:F,"Yes",Data!P:P,"Yes")</f>
      </c>
    </row>
    <row r="19" ht="22" customHeight="1" spans="2:6" x14ac:dyDescent="0.25">
      <c r="B19" s="4" t="s">
        <v>42</v>
      </c>
      <c r="C19" s="4"/>
      <c r="E19" s="5" t="s">
        <v>43</v>
      </c>
      <c r="F19" s="6">
        <f>COUNTIFS(Data!F:F,"Yes",Data!P:P,"No")</f>
      </c>
    </row>
    <row r="20" ht="22" customHeight="1" spans="2:6" x14ac:dyDescent="0.25">
      <c r="B20" s="5" t="s">
        <v>44</v>
      </c>
      <c r="C20" s="6">
        <f>COUNTIF(Data!H:H,"Compliant")</f>
      </c>
      <c r="E20" s="5" t="s">
        <v>45</v>
      </c>
      <c r="F20" s="6">
        <f>COUNTIFS(Data!G:G,"Yes",Data!P:P,"Yes")</f>
      </c>
    </row>
    <row r="21" ht="22" customHeight="1" spans="2:6" x14ac:dyDescent="0.25">
      <c r="B21" s="5" t="s">
        <v>46</v>
      </c>
      <c r="C21" s="6">
        <f>COUNTIF(Data!H:H,"Non-Compliant")</f>
      </c>
      <c r="E21" s="5" t="s">
        <v>47</v>
      </c>
      <c r="F21" s="6">
        <f>COUNTIFS(Data!G:G,"Yes",Data!P:P,"No")</f>
      </c>
    </row>
    <row r="22" ht="22" customHeight="1" spans="2:6" x14ac:dyDescent="0.25">
      <c r="B22" s="5" t="s">
        <v>48</v>
      </c>
      <c r="C22" s="6">
        <f>COUNTIF(Data!H:H,"In Progress")</f>
      </c>
      <c r="E22" s="5" t="s">
        <v>49</v>
      </c>
      <c r="F22" s="6">
        <f>COUNTIFS(Data!L:L,"Yes",Data!P:P,"Yes")</f>
      </c>
    </row>
    <row r="23" ht="22" customHeight="1" spans="2:6" x14ac:dyDescent="0.25">
      <c r="B23" s="5" t="s">
        <v>50</v>
      </c>
      <c r="C23" s="6">
        <f>COUNTIF(Data!H:H,"Expired")</f>
      </c>
      <c r="E23" s="5" t="s">
        <v>51</v>
      </c>
      <c r="F23" s="6">
        <f>COUNTIFS(Data!L:L,"Yes",Data!P:P,"No")</f>
      </c>
    </row>
    <row r="24" ht="22" customHeight="1" spans="2:6" x14ac:dyDescent="0.25">
      <c r="B24" s="5" t="s">
        <v>52</v>
      </c>
      <c r="C24" s="6">
        <f>COUNTIF(Data!H:H,"Exempt")</f>
      </c>
    </row>
    <row r="25" ht="28" customHeight="1" spans="2:6" x14ac:dyDescent="0.25">
      <c r="B25" s="5" t="s">
        <v>53</v>
      </c>
      <c r="C25" s="6">
        <f>COUNTIF(Data!H:H,"Pending")</f>
      </c>
      <c r="E25" s="4" t="s">
        <v>54</v>
      </c>
      <c r="F25" s="4"/>
    </row>
    <row r="26" ht="22" customHeight="1" spans="2:6" x14ac:dyDescent="0.25">
      <c r="B26" s="5" t="s">
        <v>55</v>
      </c>
      <c r="C26" s="6">
        <f>COUNTIF(Data!H:H,"Not Started")</f>
      </c>
      <c r="E26" s="9" t="s">
        <v>56</v>
      </c>
      <c r="F26" s="9"/>
    </row>
    <row r="27" ht="22" customHeight="1" spans="2:6" x14ac:dyDescent="0.25">
      <c r="B27" s="5" t="s">
        <v>57</v>
      </c>
      <c r="C27" s="6">
        <f>MAX(0, COUNTA(Data!H2:H1048576) - (COUNTIF(Data!H:H,"Compliant")+COUNTIF(Data!H:H,"Non-Compliant")+COUNTIF(Data!H:H,"In Progress")+COUNTIF(Data!H:H,"Expired")+COUNTIF(Data!H:H,"Exempt")+COUNTIF(Data!H:H,"Pending")+COUNTIF(Data!H:H,"Not Started")))</f>
      </c>
      <c r="E27" s="9"/>
      <c r="F27" s="9"/>
    </row>
    <row r="28" spans="2:6" x14ac:dyDescent="0.25">
      <c r="E28" s="9"/>
      <c r="F28" s="9"/>
    </row>
  </sheetData>
  <mergeCells count="10">
    <mergeCell ref="B2:F2"/>
    <mergeCell ref="B3:F3"/>
    <mergeCell ref="B5:C5"/>
    <mergeCell ref="E5:F5"/>
    <mergeCell ref="E10:F10"/>
    <mergeCell ref="B11:C11"/>
    <mergeCell ref="E17:F17"/>
    <mergeCell ref="B19:C19"/>
    <mergeCell ref="E25:F25"/>
    <mergeCell ref="E26:F2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Claude Code</dc:creator>
  <dc:title/>
  <dc:subject/>
  <dc:description/>
  <cp:keywords/>
  <cp:category/>
  <cp:lastModifiedBy>Unknown</cp:lastModifiedBy>
  <dcterms:created xsi:type="dcterms:W3CDTF">2026-02-18T15:38:45Z</dcterms:created>
  <dcterms:modified xsi:type="dcterms:W3CDTF">2026-02-18T15:38:45Z</dcterms:modified>
</cp:coreProperties>
</file>