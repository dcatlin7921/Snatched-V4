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ta" state="visible" r:id="rId4"/>
    <sheet sheetId="2" name="Dashboard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Numeric ID</t>
        </r>
      </text>
    </comment>
    <comment ref="B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Numeric ID</t>
        </r>
      </text>
    </comment>
    <comment ref="C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Text</t>
        </r>
      </text>
    </comment>
    <comment ref="D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Text</t>
        </r>
      </text>
    </comment>
    <comment ref="E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Email</t>
        </r>
      </text>
    </comment>
    <comment ref="F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Yes / No</t>
        </r>
      </text>
    </comment>
    <comment ref="G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Yes / No</t>
        </r>
      </text>
    </comment>
    <comment ref="H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Predefined List (4 values)</t>
        </r>
      </text>
    </comment>
    <comment ref="I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Free Text (most blank)</t>
        </r>
      </text>
    </comment>
    <comment ref="J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Free Text (most blank)</t>
        </r>
      </text>
    </comment>
    <comment ref="K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Free Text (most blank)</t>
        </r>
      </text>
    </comment>
    <comment ref="L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Yes / No</t>
        </r>
      </text>
    </comment>
    <comment ref="M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Free Text (most blank)</t>
        </r>
      </text>
    </comment>
    <comment ref="N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Yes / No</t>
        </r>
      </text>
    </comment>
    <comment ref="O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Free Text (most blank)</t>
        </r>
      </text>
    </comment>
    <comment ref="P1" authorId="0">
      <text>
        <r>
          <rPr>
            <b/>
            <sz val="9"/>
            <rFont val="Calibri"/>
          </rPr>
          <t xml:space="preserve">Data Type: </t>
        </r>
        <r>
          <rPr>
            <sz val="9"/>
            <rFont val="Calibri"/>
          </rPr>
          <t>Date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C7" authorId="0">
      <text>
        <r>
          <rPr>
            <b/>
            <sz val="9"/>
          </rPr>
          <t xml:space="preserve">ENTER MANUALLY
</t>
        </r>
        <r>
          <rPr>
            <sz val="9"/>
          </rPr>
          <t xml:space="preserve">Total officers in the pool.
Records on Data = submitted only.</t>
        </r>
      </text>
    </comment>
  </commentList>
</comments>
</file>

<file path=xl/sharedStrings.xml><?xml version="1.0" encoding="utf-8"?>
<sst xmlns="http://schemas.openxmlformats.org/spreadsheetml/2006/main" count="112" uniqueCount="90">
  <si>
    <t>FormID</t>
  </si>
  <si>
    <t>PTBID</t>
  </si>
  <si>
    <t>First</t>
  </si>
  <si>
    <t>Last</t>
  </si>
  <si>
    <t>Email</t>
  </si>
  <si>
    <t>Active</t>
  </si>
  <si>
    <t>Leave</t>
  </si>
  <si>
    <t>Status</t>
  </si>
  <si>
    <t>Explanation</t>
  </si>
  <si>
    <t>Mandate Reason</t>
  </si>
  <si>
    <t>Employment Explanation</t>
  </si>
  <si>
    <t>OtherLE</t>
  </si>
  <si>
    <t>Misconduct</t>
  </si>
  <si>
    <t>Misconduct Explanation</t>
  </si>
  <si>
    <t>Date</t>
  </si>
  <si>
    <t>Numeric ID</t>
  </si>
  <si>
    <t>Text</t>
  </si>
  <si>
    <t>Yes / No</t>
  </si>
  <si>
    <t>Predefined List (4 values)</t>
  </si>
  <si>
    <t>Free Text (most blank)</t>
  </si>
  <si>
    <t>Officer Verification Dashboard</t>
  </si>
  <si>
    <t>Metrics update automatically. Paste data on Data sheet starting row 3, or link a CSV (see instructions below).</t>
  </si>
  <si>
    <t xml:space="preserve">  Population &amp; Submission</t>
  </si>
  <si>
    <t>Total Officer Population</t>
  </si>
  <si>
    <t>Records in Data (Submitted)</t>
  </si>
  <si>
    <t>Not Yet Submitted</t>
  </si>
  <si>
    <t>Submission Rate</t>
  </si>
  <si>
    <t xml:space="preserve">  Verification Status</t>
  </si>
  <si>
    <t xml:space="preserve">  Cross-Tab Analysis</t>
  </si>
  <si>
    <t>Yes – Completed All Trainings</t>
  </si>
  <si>
    <t>Active AND Completed All</t>
  </si>
  <si>
    <t>No – Will Not Complete (inactivation)</t>
  </si>
  <si>
    <t>Active AND Will Not Complete</t>
  </si>
  <si>
    <t>No – Extension Waiver Granted</t>
  </si>
  <si>
    <t>Active AND Extension Waiver</t>
  </si>
  <si>
    <t>No – Grace Period Requested</t>
  </si>
  <si>
    <t>Active AND Grace Period</t>
  </si>
  <si>
    <t>Active AND Misconduct = Yes</t>
  </si>
  <si>
    <t>Total with Status value</t>
  </si>
  <si>
    <t>Leave AND Completed All</t>
  </si>
  <si>
    <t>Leave AND Will Not Complete</t>
  </si>
  <si>
    <t xml:space="preserve">  Officer Flags</t>
  </si>
  <si>
    <t>OtherLE AND Misconduct = Yes</t>
  </si>
  <si>
    <t>Active = Yes</t>
  </si>
  <si>
    <t>Misconduct = Yes AND Completed All</t>
  </si>
  <si>
    <t>Active = No</t>
  </si>
  <si>
    <t>Misconduct = Yes AND Will Not Complete</t>
  </si>
  <si>
    <t>Leave = Yes</t>
  </si>
  <si>
    <t>Leave = No</t>
  </si>
  <si>
    <t xml:space="preserve">  Explanation Fields Populated</t>
  </si>
  <si>
    <t>OtherLE = Yes</t>
  </si>
  <si>
    <t>Explanation [col I]  (non-blank)</t>
  </si>
  <si>
    <t>OtherLE = No</t>
  </si>
  <si>
    <t>Mandate Reason [col J]  (non-blank)</t>
  </si>
  <si>
    <t>Misconduct = Yes</t>
  </si>
  <si>
    <t>Employment Explanation [col K]  (non-blank)</t>
  </si>
  <si>
    <t>Misconduct = No</t>
  </si>
  <si>
    <t>OtherLE Explanation [col M]  (non-blank)</t>
  </si>
  <si>
    <t>Misconduct Explanation [col O]  (non-blank)</t>
  </si>
  <si>
    <t xml:space="preserve">  Column Reference</t>
  </si>
  <si>
    <t>A  FormID</t>
  </si>
  <si>
    <t xml:space="preserve">  How to Link a CSV File</t>
  </si>
  <si>
    <t>B  PTBID</t>
  </si>
  <si>
    <t>1.  Open this workbook in Excel.</t>
  </si>
  <si>
    <t>C  First  /  D  Last</t>
  </si>
  <si>
    <t>2.  Go to the Data tab → Get Data → From File → From Text/CSV.</t>
  </si>
  <si>
    <t>E  Email</t>
  </si>
  <si>
    <t>3.  Select your downloaded CSV file and click Import.</t>
  </si>
  <si>
    <t>F  Active</t>
  </si>
  <si>
    <t>4.  In the dialog, click Load To… → Existing worksheet.</t>
  </si>
  <si>
    <t>G  Leave</t>
  </si>
  <si>
    <t>5.  Pick cell A1 on the Data sheet, then click OK.</t>
  </si>
  <si>
    <t>H  Status</t>
  </si>
  <si>
    <t>4 predefined values</t>
  </si>
  <si>
    <t>6.  To refresh later: Data tab → Refresh All (or Ctrl+Alt+F5).</t>
  </si>
  <si>
    <t>I  Explanation</t>
  </si>
  <si>
    <t>Free text (compliance)</t>
  </si>
  <si>
    <t/>
  </si>
  <si>
    <t>J  Mandate Reason</t>
  </si>
  <si>
    <t>Free text</t>
  </si>
  <si>
    <t>The CSV must have the same 16 columns in the same order.</t>
  </si>
  <si>
    <t>K  Employment Explanation</t>
  </si>
  <si>
    <t>Row 2 (type descriptors) will be pushed down automatically.</t>
  </si>
  <si>
    <t>L  OtherLE</t>
  </si>
  <si>
    <t>M  Explanation</t>
  </si>
  <si>
    <t>Free text (OtherLE)</t>
  </si>
  <si>
    <t>N  Misconduct</t>
  </si>
  <si>
    <t>O  Misconduct Explanation</t>
  </si>
  <si>
    <t>P  Date</t>
  </si>
  <si>
    <t>Date submitted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</si>
</sst>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19" x14ac:knownFonts="1">
    <font>
      <color theme="1"/>
      <family val="2"/>
      <scheme val="minor"/>
      <sz val="11"/>
      <name val="Calibri"/>
    </font>
    <font>
      <b/>
      <color rgb="FFFFFF"/>
      <sz val="11"/>
      <name val="Calibri"/>
    </font>
    <font>
      <i/>
      <color rgb="595959"/>
      <sz val="9"/>
      <name val="Calibri"/>
    </font>
    <font>
      <b/>
      <color rgb="1F3864"/>
      <sz val="18"/>
      <name val="Calibri"/>
    </font>
    <font>
      <i/>
      <color rgb="808080"/>
      <sz val="10"/>
      <name val="Calibri"/>
    </font>
    <font>
      <b/>
      <color rgb="FFFFFF"/>
      <sz val="12"/>
      <name val="Calibri"/>
    </font>
    <font>
      <b/>
      <color rgb="1F3864"/>
      <sz val="12"/>
      <name val="Calibri"/>
    </font>
    <font>
      <b/>
      <color rgb="1F3864"/>
      <sz val="16"/>
      <name val="Calibri"/>
    </font>
    <font>
      <b/>
      <color rgb="548235"/>
      <sz val="16"/>
      <name val="Calibri"/>
    </font>
    <font>
      <b/>
      <color rgb="404040"/>
      <sz val="11"/>
      <name val="Calibri"/>
    </font>
    <font>
      <b/>
      <color rgb="C00000"/>
      <sz val="14"/>
      <name val="Calibri"/>
    </font>
    <font>
      <b/>
      <color rgb="1F3864"/>
      <sz val="14"/>
      <name val="Calibri"/>
    </font>
    <font>
      <color rgb="404040"/>
      <sz val="11"/>
      <name val="Calibri"/>
    </font>
    <font>
      <b/>
      <color rgb="548235"/>
      <sz val="12"/>
      <name val="Calibri"/>
    </font>
    <font>
      <b/>
      <color rgb="C00000"/>
      <sz val="12"/>
      <name val="Calibri"/>
    </font>
    <font>
      <b/>
      <color rgb="BF8F00"/>
      <sz val="12"/>
      <name val="Calibri"/>
    </font>
    <font>
      <b/>
      <color rgb="404040"/>
      <sz val="9"/>
      <name val="Calibri"/>
    </font>
    <font>
      <color rgb="808080"/>
      <sz val="9"/>
      <name val="Calibri"/>
    </font>
    <font>
      <color rgb="404040"/>
      <sz val="10"/>
      <name val="Calibri"/>
    </font>
  </fonts>
  <fills count="8">
    <fill>
      <patternFill patternType="none"/>
    </fill>
    <fill>
      <patternFill patternType="gray125"/>
    </fill>
    <fill>
      <patternFill patternType="solid">
        <fgColor rgb="2F5496"/>
      </patternFill>
    </fill>
    <fill>
      <patternFill patternType="solid">
        <fgColor rgb="E9EDF4"/>
      </patternFill>
    </fill>
    <fill>
      <patternFill patternType="solid">
        <fgColor rgb="DAEEF3"/>
      </patternFill>
    </fill>
    <fill>
      <patternFill patternType="solid">
        <fgColor rgb="E2EFDA"/>
      </patternFill>
    </fill>
    <fill>
      <patternFill patternType="solid">
        <fgColor rgb="FCE4EC"/>
      </patternFill>
    </fill>
    <fill>
      <patternFill patternType="solid">
        <fgColor rgb="FFF2CC"/>
      </patternFill>
    </fill>
  </fills>
  <borders count="11">
    <border>
      <left/>
      <right/>
      <top/>
      <bottom/>
      <diagonal/>
    </border>
    <border>
      <left style="thin">
        <color rgb="1F3864"/>
      </left>
      <right style="thin">
        <color rgb="1F3864"/>
      </right>
      <top style="thin">
        <color rgb="1F3864"/>
      </top>
      <bottom style="thin">
        <color rgb="1F3864"/>
      </bottom>
      <diagonal/>
    </border>
    <border>
      <left/>
      <right/>
      <top/>
      <bottom style="thin">
        <color rgb="B4C6E7"/>
      </bottom>
      <diagonal/>
    </border>
    <border>
      <left/>
      <right/>
      <top/>
      <bottom style="medium">
        <color rgb="4472C4"/>
      </bottom>
      <diagonal/>
    </border>
    <border>
      <left style="thin">
        <color rgb="4472C4"/>
      </left>
      <right style="thin">
        <color rgb="4472C4"/>
      </right>
      <top style="thin">
        <color rgb="4472C4"/>
      </top>
      <bottom style="thin">
        <color rgb="4472C4"/>
      </bottom>
      <diagonal/>
    </border>
    <border>
      <left style="thin">
        <color rgb="548235"/>
      </left>
      <right style="thin">
        <color rgb="548235"/>
      </right>
      <top style="thin">
        <color rgb="548235"/>
      </top>
      <bottom style="thin">
        <color rgb="548235"/>
      </bottom>
      <diagonal/>
    </border>
    <border>
      <left style="thin">
        <color rgb="C00000"/>
      </left>
      <right style="thin">
        <color rgb="C00000"/>
      </right>
      <top style="thin">
        <color rgb="C00000"/>
      </top>
      <bottom style="thin">
        <color rgb="C00000"/>
      </bottom>
      <diagonal/>
    </border>
    <border>
      <left/>
      <right/>
      <top/>
      <bottom style="thin">
        <color rgb="E2EFDA"/>
      </bottom>
      <diagonal/>
    </border>
    <border>
      <left/>
      <right/>
      <top/>
      <bottom style="thin">
        <color rgb="D6E4F0"/>
      </bottom>
      <diagonal/>
    </border>
    <border>
      <left/>
      <right/>
      <top/>
      <bottom style="thin">
        <color rgb="FCE4EC"/>
      </bottom>
      <diagonal/>
    </border>
    <border>
      <left/>
      <right/>
      <top/>
      <bottom style="thin">
        <color rgb="FFF2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horizontal="center" vertical="center"/>
    </xf>
    <xf numFmtId="0" fontId="3" fillId="0" borderId="3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2" borderId="0" xfId="0" applyFont="1" applyFill="1" applyAlignment="1">
      <alignment horizontal="left" vertical="center"/>
    </xf>
    <xf numFmtId="0" fontId="6" fillId="0" borderId="0" xfId="0" applyFont="1" applyAlignment="1">
      <alignment horizontal="right" vertical="center"/>
    </xf>
    <xf numFmtId="0" fontId="7" fillId="4" borderId="4" xfId="0" applyFont="1" applyFill="1" applyBorder="1" applyAlignment="1">
      <alignment horizontal="center" vertical="center"/>
    </xf>
    <xf numFmtId="0" fontId="8" fillId="5" borderId="5" xfId="0" applyFont="1" applyFill="1" applyBorder="1" applyAlignment="1">
      <alignment horizontal="center" vertical="center"/>
    </xf>
    <xf numFmtId="0" fontId="9" fillId="0" borderId="0" xfId="0" applyFont="1" applyAlignment="1">
      <alignment horizontal="right" vertical="center"/>
    </xf>
    <xf numFmtId="0" fontId="10" fillId="6" borderId="6" xfId="0" applyFont="1" applyFill="1" applyBorder="1" applyAlignment="1">
      <alignment horizontal="center" vertical="center"/>
    </xf>
    <xf numFmtId="164" fontId="11" fillId="3" borderId="4" xfId="0" applyNumberFormat="1" applyFont="1" applyFill="1" applyBorder="1" applyAlignment="1">
      <alignment horizontal="center" vertical="center"/>
    </xf>
    <xf numFmtId="0" fontId="12" fillId="0" borderId="0" xfId="0" applyFont="1" applyAlignment="1">
      <alignment horizontal="left" vertical="center" indent="1"/>
    </xf>
    <xf numFmtId="0" fontId="13" fillId="5" borderId="7" xfId="0" applyFont="1" applyFill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14" fillId="6" borderId="9" xfId="0" applyFont="1" applyFill="1" applyBorder="1" applyAlignment="1">
      <alignment horizontal="center" vertical="center"/>
    </xf>
    <xf numFmtId="0" fontId="15" fillId="7" borderId="10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 indent="1"/>
    </xf>
    <xf numFmtId="0" fontId="4" fillId="0" borderId="0" xfId="0" applyFont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0" fontId="16" fillId="3" borderId="0" xfId="0" applyFont="1" applyFill="1" applyAlignment="1">
      <alignment horizontal="left" vertical="center" indent="1"/>
    </xf>
    <xf numFmtId="0" fontId="1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left" vertical="center" indent="1"/>
    </xf>
    <xf numFmtId="0" fontId="17" fillId="0" borderId="0" xfId="0" applyFont="1" applyAlignment="1">
      <alignment horizontal="center" vertical="center"/>
    </xf>
    <xf numFmtId="0" fontId="18" fillId="0" borderId="0" xfId="0" applyFont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472C4"/>
  </sheetPr>
  <dimension ref="A1:P2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0" customWidth="1"/>
    <col min="3" max="4" width="14" customWidth="1"/>
    <col min="5" max="5" width="28" customWidth="1"/>
    <col min="8" max="8" width="22" customWidth="1"/>
    <col min="9" max="11" width="26" customWidth="1"/>
    <col min="12" max="12" width="10" customWidth="1"/>
    <col min="13" max="13" width="26" customWidth="1"/>
    <col min="14" max="14" width="12" customWidth="1"/>
    <col min="15" max="15" width="26" customWidth="1"/>
    <col min="16" max="16" width="14" customWidth="1"/>
  </cols>
  <sheetData>
    <row r="1" ht="30" customHeight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</v>
      </c>
      <c r="N1" s="1" t="s">
        <v>12</v>
      </c>
      <c r="O1" s="1" t="s">
        <v>13</v>
      </c>
      <c r="P1" s="1" t="s">
        <v>14</v>
      </c>
    </row>
    <row r="2" ht="18" customHeight="1" spans="1:16" x14ac:dyDescent="0.25">
      <c r="A2" s="2" t="s">
        <v>15</v>
      </c>
      <c r="B2" s="2" t="s">
        <v>15</v>
      </c>
      <c r="C2" s="2" t="s">
        <v>16</v>
      </c>
      <c r="D2" s="2" t="s">
        <v>16</v>
      </c>
      <c r="E2" s="2" t="s">
        <v>4</v>
      </c>
      <c r="F2" s="2" t="s">
        <v>17</v>
      </c>
      <c r="G2" s="2" t="s">
        <v>17</v>
      </c>
      <c r="H2" s="2" t="s">
        <v>18</v>
      </c>
      <c r="I2" s="2" t="s">
        <v>19</v>
      </c>
      <c r="J2" s="2" t="s">
        <v>19</v>
      </c>
      <c r="K2" s="2" t="s">
        <v>19</v>
      </c>
      <c r="L2" s="2" t="s">
        <v>17</v>
      </c>
      <c r="M2" s="2" t="s">
        <v>19</v>
      </c>
      <c r="N2" s="2" t="s">
        <v>17</v>
      </c>
      <c r="O2" s="2" t="s">
        <v>19</v>
      </c>
      <c r="P2" s="2" t="s">
        <v>14</v>
      </c>
    </row>
  </sheetData>
  <autoFilter ref="A1:P1"/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0AD47"/>
    <pageSetUpPr fitToPage="1"/>
  </sheetPr>
  <dimension ref="B2:F43"/>
  <sheetViews>
    <sheetView workbookViewId="0" showGridLines="0"/>
  </sheetViews>
  <sheetFormatPr defaultRowHeight="15" outlineLevelRow="0" outlineLevelCol="0" x14ac:dyDescent="55"/>
  <cols>
    <col min="1" max="1" width="2" customWidth="1"/>
    <col min="2" max="2" width="42" customWidth="1"/>
    <col min="3" max="3" width="14" customWidth="1"/>
    <col min="4" max="4" width="3" customWidth="1"/>
    <col min="5" max="5" width="42" customWidth="1"/>
    <col min="6" max="6" width="14" customWidth="1"/>
    <col min="7" max="7" width="2" customWidth="1"/>
  </cols>
  <sheetData>
    <row r="2" ht="36" customHeight="1" spans="2:6" x14ac:dyDescent="0.25">
      <c r="B2" s="3" t="s">
        <v>20</v>
      </c>
      <c r="C2" s="3"/>
      <c r="D2" s="3"/>
      <c r="E2" s="3"/>
      <c r="F2" s="3"/>
    </row>
    <row r="3" ht="20" customHeight="1" spans="2:6" x14ac:dyDescent="0.25">
      <c r="B3" s="4" t="s">
        <v>21</v>
      </c>
      <c r="C3" s="4"/>
      <c r="D3" s="4"/>
      <c r="E3" s="4"/>
      <c r="F3" s="4"/>
    </row>
    <row r="5" ht="26" customHeight="1" spans="2:6" x14ac:dyDescent="0.25">
      <c r="B5" s="5" t="s">
        <v>22</v>
      </c>
      <c r="C5" s="5"/>
      <c r="D5" s="5"/>
      <c r="E5" s="5"/>
      <c r="F5" s="5"/>
    </row>
    <row r="6" ht="6" customHeight="1" x14ac:dyDescent="0.25"/>
    <row r="7" ht="38" customHeight="1" spans="2:6" x14ac:dyDescent="0.25">
      <c r="B7" s="6" t="s">
        <v>23</v>
      </c>
      <c r="C7" s="7"/>
      <c r="E7" s="6" t="s">
        <v>24</v>
      </c>
      <c r="F7" s="8">
        <f>COUNTA(Data!A:A)-2</f>
      </c>
    </row>
    <row r="8" ht="30" customHeight="1" spans="2:6" x14ac:dyDescent="0.25">
      <c r="B8" s="9" t="s">
        <v>25</v>
      </c>
      <c r="C8" s="10">
        <f>IF(C7="","—",C7-(COUNTA(Data!A:A)-2))</f>
      </c>
      <c r="E8" s="9" t="s">
        <v>26</v>
      </c>
      <c r="F8" s="11">
        <f>IF(OR(C7="",C7=0),0,(COUNTA(Data!A:A)-2)/C7)</f>
      </c>
    </row>
    <row r="9" ht="6" customHeight="1" x14ac:dyDescent="0.25"/>
    <row r="10" ht="26" customHeight="1" spans="2:6" x14ac:dyDescent="0.25">
      <c r="B10" s="5" t="s">
        <v>27</v>
      </c>
      <c r="C10" s="5"/>
      <c r="E10" s="5" t="s">
        <v>28</v>
      </c>
      <c r="F10" s="5"/>
    </row>
    <row r="11" ht="22" customHeight="1" spans="2:6" x14ac:dyDescent="0.25">
      <c r="B11" s="12" t="s">
        <v>29</v>
      </c>
      <c r="C11" s="13">
        <f>COUNTIF(Data!H:H,"Yes*")</f>
      </c>
      <c r="E11" s="12" t="s">
        <v>30</v>
      </c>
      <c r="F11" s="14">
        <f>COUNTIFS(Data!F:F,"Yes",Data!H:H,"Yes*")</f>
      </c>
    </row>
    <row r="12" ht="22" customHeight="1" spans="2:6" x14ac:dyDescent="0.25">
      <c r="B12" s="12" t="s">
        <v>31</v>
      </c>
      <c r="C12" s="15">
        <f>COUNTIF(Data!H:H,"No – I do not plan*")</f>
      </c>
      <c r="E12" s="12" t="s">
        <v>32</v>
      </c>
      <c r="F12" s="14">
        <f>COUNTIFS(Data!F:F,"Yes",Data!H:H,"No – I do not plan*")</f>
      </c>
    </row>
    <row r="13" ht="22" customHeight="1" spans="2:6" x14ac:dyDescent="0.25">
      <c r="B13" s="12" t="s">
        <v>33</v>
      </c>
      <c r="C13" s="16">
        <f>COUNTIF(Data!H:H,"No – I have been granted*")</f>
      </c>
      <c r="E13" s="12" t="s">
        <v>34</v>
      </c>
      <c r="F13" s="14">
        <f>COUNTIFS(Data!F:F,"Yes",Data!H:H,"No – I have been granted*")</f>
      </c>
    </row>
    <row r="14" ht="22" customHeight="1" spans="2:6" x14ac:dyDescent="0.25">
      <c r="B14" s="12" t="s">
        <v>35</v>
      </c>
      <c r="C14" s="16">
        <f>COUNTIF(Data!H:H,"No – I require*")</f>
      </c>
      <c r="E14" s="12" t="s">
        <v>36</v>
      </c>
      <c r="F14" s="14">
        <f>COUNTIFS(Data!F:F,"Yes",Data!H:H,"No – I require*")</f>
      </c>
    </row>
    <row r="15" ht="22" customHeight="1" spans="5:6" x14ac:dyDescent="0.25">
      <c r="E15" s="12" t="s">
        <v>37</v>
      </c>
      <c r="F15" s="14">
        <f>COUNTIFS(Data!F:F,"Yes",Data!N:N,"Yes")</f>
      </c>
    </row>
    <row r="16" ht="22" customHeight="1" spans="2:6" x14ac:dyDescent="0.25">
      <c r="B16" s="17" t="s">
        <v>38</v>
      </c>
      <c r="C16" s="18">
        <f>COUNTA(Data!H3:H1048576)</f>
      </c>
      <c r="E16" s="12" t="s">
        <v>39</v>
      </c>
      <c r="F16" s="14">
        <f>COUNTIFS(Data!G:G,"Yes",Data!H:H,"Yes*")</f>
      </c>
    </row>
    <row r="17" ht="22" customHeight="1" spans="5:6" x14ac:dyDescent="0.25">
      <c r="E17" s="12" t="s">
        <v>40</v>
      </c>
      <c r="F17" s="14">
        <f>COUNTIFS(Data!G:G,"Yes",Data!H:H,"No – I do not plan*")</f>
      </c>
    </row>
    <row r="18" ht="22" customHeight="1" spans="2:6" x14ac:dyDescent="0.25">
      <c r="B18" s="5" t="s">
        <v>41</v>
      </c>
      <c r="C18" s="5"/>
      <c r="E18" s="12" t="s">
        <v>42</v>
      </c>
      <c r="F18" s="14">
        <f>COUNTIFS(Data!L:L,"Yes",Data!N:N,"Yes")</f>
      </c>
    </row>
    <row r="19" ht="22" customHeight="1" spans="2:6" x14ac:dyDescent="0.25">
      <c r="B19" s="12" t="s">
        <v>43</v>
      </c>
      <c r="C19" s="14">
        <f>COUNTIF(Data!F:F,"Yes")</f>
      </c>
      <c r="E19" s="12" t="s">
        <v>44</v>
      </c>
      <c r="F19" s="14">
        <f>COUNTIFS(Data!N:N,"Yes",Data!H:H,"Yes*")</f>
      </c>
    </row>
    <row r="20" ht="22" customHeight="1" spans="2:6" x14ac:dyDescent="0.25">
      <c r="B20" s="12" t="s">
        <v>45</v>
      </c>
      <c r="C20" s="14">
        <f>COUNTIF(Data!F:F,"No")</f>
      </c>
      <c r="E20" s="12" t="s">
        <v>46</v>
      </c>
      <c r="F20" s="14">
        <f>COUNTIFS(Data!N:N,"Yes",Data!H:H,"No – I do not plan*")</f>
      </c>
    </row>
    <row r="21" ht="22" customHeight="1" spans="2:3" x14ac:dyDescent="0.25">
      <c r="B21" s="12" t="s">
        <v>47</v>
      </c>
      <c r="C21" s="14">
        <f>COUNTIF(Data!G:G,"Yes")</f>
      </c>
    </row>
    <row r="22" ht="26" customHeight="1" spans="2:6" x14ac:dyDescent="0.25">
      <c r="B22" s="12" t="s">
        <v>48</v>
      </c>
      <c r="C22" s="14">
        <f>COUNTIF(Data!G:G,"No")</f>
      </c>
      <c r="E22" s="5" t="s">
        <v>49</v>
      </c>
      <c r="F22" s="5"/>
    </row>
    <row r="23" ht="22" customHeight="1" spans="2:6" x14ac:dyDescent="0.25">
      <c r="B23" s="12" t="s">
        <v>50</v>
      </c>
      <c r="C23" s="14">
        <f>COUNTIF(Data!L:L,"Yes")</f>
      </c>
      <c r="E23" s="12" t="s">
        <v>51</v>
      </c>
      <c r="F23" s="14">
        <f>COUNTA(Data!I3:I1048576)</f>
      </c>
    </row>
    <row r="24" ht="22" customHeight="1" spans="2:6" x14ac:dyDescent="0.25">
      <c r="B24" s="12" t="s">
        <v>52</v>
      </c>
      <c r="C24" s="14">
        <f>COUNTIF(Data!L:L,"No")</f>
      </c>
      <c r="E24" s="12" t="s">
        <v>53</v>
      </c>
      <c r="F24" s="14">
        <f>COUNTA(Data!J3:J1048576)</f>
      </c>
    </row>
    <row r="25" ht="22" customHeight="1" spans="2:6" x14ac:dyDescent="0.25">
      <c r="B25" s="12" t="s">
        <v>54</v>
      </c>
      <c r="C25" s="19">
        <f>COUNTIF(Data!N:N,"Yes")</f>
      </c>
      <c r="E25" s="12" t="s">
        <v>55</v>
      </c>
      <c r="F25" s="14">
        <f>COUNTA(Data!K3:K1048576)</f>
      </c>
    </row>
    <row r="26" ht="22" customHeight="1" spans="2:6" x14ac:dyDescent="0.25">
      <c r="B26" s="12" t="s">
        <v>56</v>
      </c>
      <c r="C26" s="14">
        <f>COUNTIF(Data!N:N,"No")</f>
      </c>
      <c r="E26" s="12" t="s">
        <v>57</v>
      </c>
      <c r="F26" s="14">
        <f>COUNTA(Data!M3:M1048576)</f>
      </c>
    </row>
    <row r="27" ht="22" customHeight="1" spans="5:6" x14ac:dyDescent="0.25">
      <c r="E27" s="12" t="s">
        <v>58</v>
      </c>
      <c r="F27" s="14">
        <f>COUNTA(Data!O3:O1048576)</f>
      </c>
    </row>
    <row r="28" ht="26" customHeight="1" spans="2:3" x14ac:dyDescent="0.25">
      <c r="B28" s="5" t="s">
        <v>59</v>
      </c>
      <c r="C28" s="5"/>
    </row>
    <row r="29" ht="16" customHeight="1" spans="2:6" x14ac:dyDescent="0.25">
      <c r="B29" s="20" t="s">
        <v>60</v>
      </c>
      <c r="C29" s="21" t="s">
        <v>15</v>
      </c>
      <c r="E29" s="5" t="s">
        <v>61</v>
      </c>
      <c r="F29" s="5"/>
    </row>
    <row r="30" ht="16" customHeight="1" spans="2:6" x14ac:dyDescent="0.25">
      <c r="B30" s="22" t="s">
        <v>62</v>
      </c>
      <c r="C30" s="23" t="s">
        <v>15</v>
      </c>
      <c r="E30" s="24" t="s">
        <v>63</v>
      </c>
      <c r="F30" s="24"/>
    </row>
    <row r="31" ht="16" customHeight="1" spans="2:6" x14ac:dyDescent="0.25">
      <c r="B31" s="20" t="s">
        <v>64</v>
      </c>
      <c r="C31" s="21" t="s">
        <v>16</v>
      </c>
      <c r="E31" s="24" t="s">
        <v>65</v>
      </c>
      <c r="F31" s="24"/>
    </row>
    <row r="32" ht="16" customHeight="1" spans="2:6" x14ac:dyDescent="0.25">
      <c r="B32" s="22" t="s">
        <v>66</v>
      </c>
      <c r="C32" s="23" t="s">
        <v>4</v>
      </c>
      <c r="E32" s="24" t="s">
        <v>67</v>
      </c>
      <c r="F32" s="24"/>
    </row>
    <row r="33" ht="16" customHeight="1" spans="2:6" x14ac:dyDescent="0.25">
      <c r="B33" s="20" t="s">
        <v>68</v>
      </c>
      <c r="C33" s="21" t="s">
        <v>17</v>
      </c>
      <c r="E33" s="24" t="s">
        <v>69</v>
      </c>
      <c r="F33" s="24"/>
    </row>
    <row r="34" ht="16" customHeight="1" spans="2:6" x14ac:dyDescent="0.25">
      <c r="B34" s="22" t="s">
        <v>70</v>
      </c>
      <c r="C34" s="23" t="s">
        <v>17</v>
      </c>
      <c r="E34" s="24" t="s">
        <v>71</v>
      </c>
      <c r="F34" s="24"/>
    </row>
    <row r="35" ht="16" customHeight="1" spans="2:6" x14ac:dyDescent="0.25">
      <c r="B35" s="20" t="s">
        <v>72</v>
      </c>
      <c r="C35" s="21" t="s">
        <v>73</v>
      </c>
      <c r="E35" s="24" t="s">
        <v>74</v>
      </c>
      <c r="F35" s="24"/>
    </row>
    <row r="36" ht="16" customHeight="1" spans="2:6" x14ac:dyDescent="0.25">
      <c r="B36" s="22" t="s">
        <v>75</v>
      </c>
      <c r="C36" s="23" t="s">
        <v>76</v>
      </c>
      <c r="E36" s="24" t="s">
        <v>77</v>
      </c>
      <c r="F36" s="24"/>
    </row>
    <row r="37" ht="16" customHeight="1" spans="2:6" x14ac:dyDescent="0.25">
      <c r="B37" s="20" t="s">
        <v>78</v>
      </c>
      <c r="C37" s="21" t="s">
        <v>79</v>
      </c>
      <c r="E37" s="25" t="s">
        <v>80</v>
      </c>
      <c r="F37" s="25"/>
    </row>
    <row r="38" ht="16" customHeight="1" spans="2:6" x14ac:dyDescent="0.25">
      <c r="B38" s="22" t="s">
        <v>81</v>
      </c>
      <c r="C38" s="23" t="s">
        <v>79</v>
      </c>
      <c r="E38" s="25" t="s">
        <v>82</v>
      </c>
      <c r="F38" s="25"/>
    </row>
    <row r="39" ht="16" customHeight="1" spans="2:3" x14ac:dyDescent="0.25">
      <c r="B39" s="20" t="s">
        <v>83</v>
      </c>
      <c r="C39" s="21" t="s">
        <v>17</v>
      </c>
    </row>
    <row r="40" ht="16" customHeight="1" spans="2:3" x14ac:dyDescent="0.25">
      <c r="B40" s="22" t="s">
        <v>84</v>
      </c>
      <c r="C40" s="23" t="s">
        <v>85</v>
      </c>
    </row>
    <row r="41" ht="16" customHeight="1" spans="2:3" x14ac:dyDescent="0.25">
      <c r="B41" s="20" t="s">
        <v>86</v>
      </c>
      <c r="C41" s="21" t="s">
        <v>17</v>
      </c>
    </row>
    <row r="42" ht="16" customHeight="1" spans="2:3" x14ac:dyDescent="0.25">
      <c r="B42" s="22" t="s">
        <v>87</v>
      </c>
      <c r="C42" s="23" t="s">
        <v>79</v>
      </c>
    </row>
    <row r="43" ht="16" customHeight="1" spans="2:3" x14ac:dyDescent="0.25">
      <c r="B43" s="20" t="s">
        <v>88</v>
      </c>
      <c r="C43" s="21" t="s">
        <v>89</v>
      </c>
    </row>
  </sheetData>
  <mergeCells count="18">
    <mergeCell ref="B2:F2"/>
    <mergeCell ref="B3:F3"/>
    <mergeCell ref="B5:F5"/>
    <mergeCell ref="B10:C10"/>
    <mergeCell ref="E10:F10"/>
    <mergeCell ref="B18:C18"/>
    <mergeCell ref="E22:F22"/>
    <mergeCell ref="B28:C28"/>
    <mergeCell ref="E29:F29"/>
    <mergeCell ref="E30:F30"/>
    <mergeCell ref="E31:F31"/>
    <mergeCell ref="E32:F32"/>
    <mergeCell ref="E33:F33"/>
    <mergeCell ref="E34:F34"/>
    <mergeCell ref="E35:F35"/>
    <mergeCell ref="E36:F36"/>
    <mergeCell ref="E37:F37"/>
    <mergeCell ref="E38:F38"/>
  </mergeCells>
  <pageMargins left="0.4" right="0.4" top="0.5" bottom="0.5" header="0.3" footer="0.3"/>
  <pageSetup orientation="landscape" fitToWidth="1" fitToHeight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Dashboard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Claude Code</dc:creator>
  <dc:title/>
  <dc:subject/>
  <dc:description/>
  <cp:keywords/>
  <cp:category/>
  <cp:lastModifiedBy>Unknown</cp:lastModifiedBy>
  <dcterms:created xsi:type="dcterms:W3CDTF">2026-02-18T16:53:39Z</dcterms:created>
  <dcterms:modified xsi:type="dcterms:W3CDTF">2026-02-18T16:53:39Z</dcterms:modified>
</cp:coreProperties>
</file>